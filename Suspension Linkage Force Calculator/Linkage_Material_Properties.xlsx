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Sun Devil Motorsports\Suspension\SDM26 Suspension\Documents\Summer Projects\Auxiliary Design Research Projects\Force Calculator\Code\"/>
    </mc:Choice>
  </mc:AlternateContent>
  <xr:revisionPtr revIDLastSave="0" documentId="13_ncr:1_{62AB5B01-F667-4C15-8467-8B5BE8268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0" i="1" s="1"/>
  <c r="C13" i="1" s="1"/>
  <c r="D7" i="1"/>
  <c r="D10" i="1" s="1"/>
  <c r="D13" i="1" s="1"/>
  <c r="E7" i="1"/>
  <c r="F7" i="1"/>
  <c r="F11" i="1" s="1"/>
  <c r="G7" i="1"/>
  <c r="E10" i="1"/>
  <c r="E13" i="1" s="1"/>
  <c r="F10" i="1"/>
  <c r="F13" i="1" s="1"/>
  <c r="G10" i="1"/>
  <c r="G13" i="1" s="1"/>
  <c r="C11" i="1"/>
  <c r="D11" i="1"/>
  <c r="E11" i="1"/>
  <c r="G11" i="1"/>
  <c r="B10" i="1"/>
  <c r="B7" i="1"/>
  <c r="B11" i="1" s="1"/>
  <c r="B13" i="1" l="1"/>
</calcChain>
</file>

<file path=xl/sharedStrings.xml><?xml version="1.0" encoding="utf-8"?>
<sst xmlns="http://schemas.openxmlformats.org/spreadsheetml/2006/main" count="20" uniqueCount="20">
  <si>
    <t>Up-Fore</t>
  </si>
  <si>
    <t>Up-Aft</t>
  </si>
  <si>
    <t>Low-Fore</t>
  </si>
  <si>
    <t>Low-Aft</t>
  </si>
  <si>
    <t>Push/Pull</t>
  </si>
  <si>
    <t>Tie/Toe</t>
  </si>
  <si>
    <t>K</t>
  </si>
  <si>
    <t>f</t>
  </si>
  <si>
    <t>k_tot</t>
  </si>
  <si>
    <t>a</t>
  </si>
  <si>
    <t>b</t>
  </si>
  <si>
    <t>N</t>
  </si>
  <si>
    <t>Sf'</t>
  </si>
  <si>
    <t>Density</t>
  </si>
  <si>
    <t>E (psi)</t>
  </si>
  <si>
    <t>Sut (psi)</t>
  </si>
  <si>
    <t>Suc (psi)</t>
  </si>
  <si>
    <t>Se' (psi)</t>
  </si>
  <si>
    <t>Linkage</t>
  </si>
  <si>
    <t>Material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</si>
</sst>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17" sqref="E17"/>
    </sheetView>
  </sheetViews>
  <sheetFormatPr defaultRowHeight="15" x14ac:dyDescent="0.25"/>
  <cols>
    <col min="1" max="1" width="17.7109375" customWidth="1"/>
    <col min="2" max="7" width="12.7109375" bestFit="1" customWidth="1"/>
  </cols>
  <sheetData>
    <row r="1" spans="1:7" x14ac:dyDescent="0.25">
      <c r="A1" s="1" t="s">
        <v>19</v>
      </c>
      <c r="B1" s="2" t="s">
        <v>18</v>
      </c>
      <c r="C1" s="2"/>
      <c r="D1" s="2"/>
      <c r="E1" s="2"/>
      <c r="F1" s="2"/>
      <c r="G1" s="2"/>
    </row>
    <row r="2" spans="1:7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x14ac:dyDescent="0.25">
      <c r="A3" s="4" t="s">
        <v>6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</row>
    <row r="4" spans="1:7" x14ac:dyDescent="0.25">
      <c r="A4" s="4" t="s">
        <v>14</v>
      </c>
      <c r="B4" s="4">
        <v>29700000</v>
      </c>
      <c r="C4" s="4">
        <v>29700000</v>
      </c>
      <c r="D4" s="4">
        <v>29700000</v>
      </c>
      <c r="E4" s="4">
        <v>29700000</v>
      </c>
      <c r="F4" s="4">
        <v>29700000</v>
      </c>
      <c r="G4" s="4">
        <v>29700000</v>
      </c>
    </row>
    <row r="5" spans="1:7" x14ac:dyDescent="0.25">
      <c r="A5" s="4" t="s">
        <v>15</v>
      </c>
      <c r="B5" s="5">
        <v>70000</v>
      </c>
      <c r="C5" s="5">
        <v>70000</v>
      </c>
      <c r="D5" s="5">
        <v>70000</v>
      </c>
      <c r="E5" s="5">
        <v>70000</v>
      </c>
      <c r="F5" s="5">
        <v>70000</v>
      </c>
      <c r="G5" s="5">
        <v>70000</v>
      </c>
    </row>
    <row r="6" spans="1:7" x14ac:dyDescent="0.25">
      <c r="A6" s="4" t="s">
        <v>16</v>
      </c>
      <c r="B6" s="5">
        <v>70000</v>
      </c>
      <c r="C6" s="5">
        <v>70000</v>
      </c>
      <c r="D6" s="5">
        <v>70000</v>
      </c>
      <c r="E6" s="5">
        <v>70000</v>
      </c>
      <c r="F6" s="5">
        <v>70000</v>
      </c>
      <c r="G6" s="5">
        <v>70000</v>
      </c>
    </row>
    <row r="7" spans="1:7" x14ac:dyDescent="0.25">
      <c r="A7" s="4" t="s">
        <v>17</v>
      </c>
      <c r="B7" s="4">
        <f>0.5*B5</f>
        <v>35000</v>
      </c>
      <c r="C7" s="4">
        <f t="shared" ref="C7:G7" si="0">0.5*C5</f>
        <v>35000</v>
      </c>
      <c r="D7" s="4">
        <f t="shared" si="0"/>
        <v>35000</v>
      </c>
      <c r="E7" s="4">
        <f t="shared" si="0"/>
        <v>35000</v>
      </c>
      <c r="F7" s="4">
        <f t="shared" si="0"/>
        <v>35000</v>
      </c>
      <c r="G7" s="4">
        <f t="shared" si="0"/>
        <v>35000</v>
      </c>
    </row>
    <row r="8" spans="1:7" x14ac:dyDescent="0.25">
      <c r="A8" s="4" t="s">
        <v>7</v>
      </c>
      <c r="B8" s="4">
        <v>0.9</v>
      </c>
      <c r="C8" s="4">
        <v>0.9</v>
      </c>
      <c r="D8" s="4">
        <v>0.9</v>
      </c>
      <c r="E8" s="4">
        <v>0.9</v>
      </c>
      <c r="F8" s="4">
        <v>0.9</v>
      </c>
      <c r="G8" s="4">
        <v>0.9</v>
      </c>
    </row>
    <row r="9" spans="1:7" x14ac:dyDescent="0.25">
      <c r="A9" s="4" t="s">
        <v>8</v>
      </c>
      <c r="B9" s="4">
        <v>0.53100000000000003</v>
      </c>
      <c r="C9" s="4">
        <v>0.53100000000000003</v>
      </c>
      <c r="D9" s="4">
        <v>0.53100000000000003</v>
      </c>
      <c r="E9" s="4">
        <v>0.53100000000000003</v>
      </c>
      <c r="F9" s="4">
        <v>0.53100000000000003</v>
      </c>
      <c r="G9" s="4">
        <v>0.53100000000000003</v>
      </c>
    </row>
    <row r="10" spans="1:7" x14ac:dyDescent="0.25">
      <c r="A10" s="4" t="s">
        <v>9</v>
      </c>
      <c r="B10" s="4">
        <f>(B8*B5^2)/(B7*B9)</f>
        <v>237288.13559322033</v>
      </c>
      <c r="C10" s="4">
        <f t="shared" ref="C10:G10" si="1">(C8*C5^2)/(C7*C9)</f>
        <v>237288.13559322033</v>
      </c>
      <c r="D10" s="4">
        <f t="shared" si="1"/>
        <v>237288.13559322033</v>
      </c>
      <c r="E10" s="4">
        <f t="shared" si="1"/>
        <v>237288.13559322033</v>
      </c>
      <c r="F10" s="4">
        <f t="shared" si="1"/>
        <v>237288.13559322033</v>
      </c>
      <c r="G10" s="4">
        <f t="shared" si="1"/>
        <v>237288.13559322033</v>
      </c>
    </row>
    <row r="11" spans="1:7" x14ac:dyDescent="0.25">
      <c r="A11" s="4" t="s">
        <v>10</v>
      </c>
      <c r="B11" s="4">
        <f>-(1/3)*LOG10(B8*B5/(B7*B9))</f>
        <v>-0.17672599467394567</v>
      </c>
      <c r="C11" s="4">
        <f t="shared" ref="C11:G11" si="2">-(1/3)*LOG10(C8*C5/(C7*C9))</f>
        <v>-0.17672599467394567</v>
      </c>
      <c r="D11" s="4">
        <f t="shared" si="2"/>
        <v>-0.17672599467394567</v>
      </c>
      <c r="E11" s="4">
        <f t="shared" si="2"/>
        <v>-0.17672599467394567</v>
      </c>
      <c r="F11" s="4">
        <f t="shared" si="2"/>
        <v>-0.17672599467394567</v>
      </c>
      <c r="G11" s="4">
        <f t="shared" si="2"/>
        <v>-0.17672599467394567</v>
      </c>
    </row>
    <row r="12" spans="1:7" x14ac:dyDescent="0.25">
      <c r="A12" s="4" t="s">
        <v>11</v>
      </c>
      <c r="B12" s="6">
        <v>1500000</v>
      </c>
      <c r="C12" s="6">
        <v>1500001</v>
      </c>
      <c r="D12" s="6">
        <v>1500002</v>
      </c>
      <c r="E12" s="6">
        <v>1500003</v>
      </c>
      <c r="F12" s="6">
        <v>1500004</v>
      </c>
      <c r="G12" s="6">
        <v>1500005</v>
      </c>
    </row>
    <row r="13" spans="1:7" x14ac:dyDescent="0.25">
      <c r="A13" s="4" t="s">
        <v>12</v>
      </c>
      <c r="B13" s="4">
        <f>B10*B12^B11</f>
        <v>19222.069938796707</v>
      </c>
      <c r="C13" s="4">
        <f t="shared" ref="C13:G13" si="3">C10*C12^C11</f>
        <v>19222.067674104641</v>
      </c>
      <c r="D13" s="4">
        <f t="shared" si="3"/>
        <v>19222.065409414354</v>
      </c>
      <c r="E13" s="4">
        <f t="shared" si="3"/>
        <v>19222.063144725838</v>
      </c>
      <c r="F13" s="4">
        <f t="shared" si="3"/>
        <v>19222.060880039106</v>
      </c>
      <c r="G13" s="4">
        <f t="shared" si="3"/>
        <v>19222.058615354144</v>
      </c>
    </row>
    <row r="14" spans="1:7" x14ac:dyDescent="0.25">
      <c r="A14" s="4" t="s">
        <v>13</v>
      </c>
      <c r="B14" s="4">
        <v>4.3999999999999997E-2</v>
      </c>
      <c r="C14" s="4">
        <v>1.044</v>
      </c>
      <c r="D14" s="4">
        <v>2.044</v>
      </c>
      <c r="E14" s="4">
        <v>3.044</v>
      </c>
      <c r="F14" s="4">
        <v>4.0439999999999996</v>
      </c>
      <c r="G14" s="4">
        <v>5.0439999999999996</v>
      </c>
    </row>
  </sheetData>
  <mergeCells count="2">
    <mergeCell ref="B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Redmond</dc:creator>
  <cp:lastModifiedBy>Hayden Redmond (Student)</cp:lastModifiedBy>
  <dcterms:created xsi:type="dcterms:W3CDTF">2015-06-05T18:17:20Z</dcterms:created>
  <dcterms:modified xsi:type="dcterms:W3CDTF">2025-07-04T21:30:26Z</dcterms:modified>
</cp:coreProperties>
</file>